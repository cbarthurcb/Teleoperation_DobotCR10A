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fubr-my.sharepoint.com/personal/arthur_bastos_ufu_br/Documents/ARQUIVOS/1. MATERIAS UFU/TCC/7.Demo_CelulaDeCarga_Uniaxial/Calibracao_Uniaxial/"/>
    </mc:Choice>
  </mc:AlternateContent>
  <xr:revisionPtr revIDLastSave="262" documentId="11_AD4D361C20488DEA4E38A0377C1A728E5BDEDD8D" xr6:coauthVersionLast="47" xr6:coauthVersionMax="47" xr10:uidLastSave="{73610471-3268-4129-9228-FDE3585E002C}"/>
  <bookViews>
    <workbookView xWindow="-120" yWindow="-120" windowWidth="20730" windowHeight="110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20" i="1"/>
  <c r="E19" i="1"/>
  <c r="D30" i="1"/>
  <c r="D20" i="1"/>
  <c r="D21" i="1"/>
  <c r="D22" i="1"/>
  <c r="D23" i="1"/>
  <c r="D24" i="1"/>
  <c r="D25" i="1"/>
  <c r="D26" i="1"/>
  <c r="D27" i="1"/>
  <c r="D28" i="1"/>
  <c r="D29" i="1"/>
  <c r="D19" i="1"/>
  <c r="E7" i="1"/>
  <c r="E8" i="1"/>
  <c r="E9" i="1"/>
  <c r="E10" i="1"/>
  <c r="E11" i="1"/>
  <c r="E12" i="1"/>
  <c r="E13" i="1"/>
  <c r="E14" i="1"/>
  <c r="E15" i="1"/>
  <c r="E6" i="1"/>
  <c r="B7" i="1"/>
</calcChain>
</file>

<file path=xl/sharedStrings.xml><?xml version="1.0" encoding="utf-8"?>
<sst xmlns="http://schemas.openxmlformats.org/spreadsheetml/2006/main" count="19" uniqueCount="19">
  <si>
    <t>Zero (V)</t>
  </si>
  <si>
    <t>Tara Garrafa (kg)</t>
  </si>
  <si>
    <t>Peso(kg)</t>
  </si>
  <si>
    <t>Validação Calibração</t>
  </si>
  <si>
    <t>Peso (kg)</t>
  </si>
  <si>
    <t>Tensao Multimetro (V)</t>
  </si>
  <si>
    <t>Posição z (mm)</t>
  </si>
  <si>
    <t>Vadc</t>
  </si>
  <si>
    <t>Peso web (kg)</t>
  </si>
  <si>
    <t>Determinação Keq</t>
  </si>
  <si>
    <t>kg/mm</t>
  </si>
  <si>
    <t>Tensão Saida Amp (V)</t>
  </si>
  <si>
    <t>R1</t>
  </si>
  <si>
    <t>R2</t>
  </si>
  <si>
    <t>R2/(R1+R2)</t>
  </si>
  <si>
    <t>Tensão entrada ADC buffer (V)</t>
  </si>
  <si>
    <t>V = 0,13895⋅Peso + 0,0005405</t>
  </si>
  <si>
    <t>Tensão Entrada ADC (V)</t>
  </si>
  <si>
    <t>Valor ADC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</si>
</sst>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0"/>
  <sheetViews>
    <sheetView tabSelected="1" topLeftCell="A10" workbookViewId="0">
      <selection activeCell="B18" sqref="B18"/>
    </sheetView>
  </sheetViews>
  <sheetFormatPr defaultRowHeight="15" x14ac:dyDescent="0.25"/>
  <cols>
    <col min="1" max="1" width="10.7109375" bestFit="1" customWidth="1"/>
    <col min="2" max="2" width="25.7109375" bestFit="1" customWidth="1"/>
    <col min="3" max="3" width="9.140625" bestFit="1" customWidth="1"/>
    <col min="4" max="4" width="22.140625" bestFit="1" customWidth="1"/>
    <col min="5" max="5" width="28.42578125" bestFit="1" customWidth="1"/>
    <col min="6" max="6" width="17.5703125" bestFit="1" customWidth="1"/>
    <col min="7" max="7" width="21.42578125" bestFit="1" customWidth="1"/>
    <col min="8" max="8" width="16.5703125" bestFit="1" customWidth="1"/>
  </cols>
  <sheetData>
    <row r="2" spans="1:9" x14ac:dyDescent="0.25">
      <c r="B2" t="s">
        <v>0</v>
      </c>
      <c r="C2">
        <v>-2E-3</v>
      </c>
      <c r="F2" t="s">
        <v>9</v>
      </c>
      <c r="G2" t="s">
        <v>10</v>
      </c>
    </row>
    <row r="3" spans="1:9" x14ac:dyDescent="0.25">
      <c r="B3" t="s">
        <v>1</v>
      </c>
      <c r="C3">
        <v>0.10299999999999999</v>
      </c>
    </row>
    <row r="4" spans="1:9" x14ac:dyDescent="0.25">
      <c r="C4" s="1"/>
      <c r="F4" t="s">
        <v>6</v>
      </c>
      <c r="G4" t="s">
        <v>5</v>
      </c>
      <c r="H4" t="s">
        <v>8</v>
      </c>
      <c r="I4" t="s">
        <v>7</v>
      </c>
    </row>
    <row r="5" spans="1:9" x14ac:dyDescent="0.25">
      <c r="A5" t="s">
        <v>12</v>
      </c>
      <c r="B5">
        <v>220000</v>
      </c>
      <c r="C5" s="1" t="s">
        <v>2</v>
      </c>
      <c r="D5" t="s">
        <v>11</v>
      </c>
      <c r="E5" t="s">
        <v>15</v>
      </c>
      <c r="F5">
        <v>205.2</v>
      </c>
      <c r="G5">
        <v>2E-3</v>
      </c>
      <c r="H5">
        <v>0</v>
      </c>
      <c r="I5">
        <v>0</v>
      </c>
    </row>
    <row r="6" spans="1:9" x14ac:dyDescent="0.25">
      <c r="A6" t="s">
        <v>13</v>
      </c>
      <c r="B6">
        <v>98600</v>
      </c>
      <c r="C6" s="1">
        <v>0.10299999999999999</v>
      </c>
      <c r="D6">
        <v>4.2000000000000003E-2</v>
      </c>
      <c r="E6">
        <f>D6*B$7</f>
        <v>1.2998116760828626E-2</v>
      </c>
      <c r="F6">
        <v>204.2</v>
      </c>
      <c r="G6">
        <v>0.01</v>
      </c>
      <c r="H6">
        <v>0</v>
      </c>
      <c r="I6">
        <v>0</v>
      </c>
    </row>
    <row r="7" spans="1:9" x14ac:dyDescent="0.25">
      <c r="A7" t="s">
        <v>14</v>
      </c>
      <c r="B7">
        <f>B6 / (B5+B6)</f>
        <v>0.30947897049591966</v>
      </c>
      <c r="C7" s="1">
        <v>0.64800000000000002</v>
      </c>
      <c r="D7">
        <v>0.29299999999999998</v>
      </c>
      <c r="E7">
        <f t="shared" ref="E7:E15" si="0">D7*B$7</f>
        <v>9.0677338355304449E-2</v>
      </c>
      <c r="F7">
        <v>203.2</v>
      </c>
      <c r="G7">
        <v>2.5000000000000001E-2</v>
      </c>
      <c r="H7">
        <v>0</v>
      </c>
      <c r="I7">
        <v>0</v>
      </c>
    </row>
    <row r="8" spans="1:9" x14ac:dyDescent="0.25">
      <c r="C8" s="1">
        <v>1.1919999999999999</v>
      </c>
      <c r="D8">
        <v>0.504</v>
      </c>
      <c r="E8">
        <f t="shared" si="0"/>
        <v>0.15597740112994352</v>
      </c>
      <c r="F8">
        <v>202.2</v>
      </c>
      <c r="G8">
        <v>3.6999999999999998E-2</v>
      </c>
      <c r="H8">
        <v>0</v>
      </c>
      <c r="I8">
        <v>0</v>
      </c>
    </row>
    <row r="9" spans="1:9" x14ac:dyDescent="0.25">
      <c r="C9" s="1">
        <v>1.7330000000000001</v>
      </c>
      <c r="D9">
        <v>0.753</v>
      </c>
      <c r="E9">
        <f t="shared" si="0"/>
        <v>0.2330376647834275</v>
      </c>
      <c r="F9">
        <v>201.2</v>
      </c>
      <c r="G9">
        <v>6.6000000000000003E-2</v>
      </c>
      <c r="H9">
        <v>0</v>
      </c>
      <c r="I9">
        <v>0</v>
      </c>
    </row>
    <row r="10" spans="1:9" x14ac:dyDescent="0.25">
      <c r="C10" s="1">
        <v>2.2610000000000001</v>
      </c>
      <c r="D10">
        <v>0.97599999999999998</v>
      </c>
      <c r="E10">
        <f t="shared" si="0"/>
        <v>0.30205147520401759</v>
      </c>
      <c r="F10">
        <v>200.2</v>
      </c>
      <c r="G10">
        <v>0.115</v>
      </c>
      <c r="H10">
        <v>0</v>
      </c>
      <c r="I10">
        <v>0</v>
      </c>
    </row>
    <row r="11" spans="1:9" x14ac:dyDescent="0.25">
      <c r="C11" s="1">
        <v>2.2799999999999998</v>
      </c>
      <c r="D11">
        <v>1.17</v>
      </c>
      <c r="E11">
        <f t="shared" si="0"/>
        <v>0.36209039548022598</v>
      </c>
      <c r="F11">
        <v>199.2</v>
      </c>
      <c r="G11">
        <v>0.77</v>
      </c>
      <c r="H11">
        <v>0.36</v>
      </c>
      <c r="I11">
        <v>0.05</v>
      </c>
    </row>
    <row r="12" spans="1:9" x14ac:dyDescent="0.25">
      <c r="C12" s="1">
        <v>3.367</v>
      </c>
      <c r="D12">
        <v>1.4510000000000001</v>
      </c>
      <c r="E12">
        <f t="shared" si="0"/>
        <v>0.44905398618957942</v>
      </c>
    </row>
    <row r="13" spans="1:9" x14ac:dyDescent="0.25">
      <c r="C13" s="1">
        <v>3.637</v>
      </c>
      <c r="D13">
        <v>1.6719999999999999</v>
      </c>
      <c r="E13">
        <f t="shared" si="0"/>
        <v>0.51744883866917768</v>
      </c>
    </row>
    <row r="14" spans="1:9" x14ac:dyDescent="0.25">
      <c r="C14" s="1">
        <v>4.12</v>
      </c>
      <c r="D14">
        <v>1.869</v>
      </c>
      <c r="E14">
        <f t="shared" si="0"/>
        <v>0.57841619585687387</v>
      </c>
    </row>
    <row r="15" spans="1:9" x14ac:dyDescent="0.25">
      <c r="C15" s="1">
        <v>4.8550000000000004</v>
      </c>
      <c r="D15">
        <v>2.1509999999999998</v>
      </c>
      <c r="E15">
        <f t="shared" si="0"/>
        <v>0.66568926553672314</v>
      </c>
    </row>
    <row r="17" spans="2:5" x14ac:dyDescent="0.25">
      <c r="B17" t="s">
        <v>16</v>
      </c>
      <c r="C17" s="3" t="s">
        <v>3</v>
      </c>
      <c r="D17" s="3"/>
      <c r="E17" s="2"/>
    </row>
    <row r="18" spans="2:5" x14ac:dyDescent="0.25">
      <c r="B18">
        <v>8.0566406249999996E-4</v>
      </c>
      <c r="C18" t="s">
        <v>4</v>
      </c>
      <c r="D18" t="s">
        <v>17</v>
      </c>
      <c r="E18" t="s">
        <v>18</v>
      </c>
    </row>
    <row r="19" spans="2:5" x14ac:dyDescent="0.25">
      <c r="C19">
        <v>0</v>
      </c>
      <c r="D19">
        <f>(C19*0.13895)+0.0005405</f>
        <v>5.4049999999999996E-4</v>
      </c>
      <c r="E19">
        <f>(D19*4095) / 3.3</f>
        <v>0.67071136363636363</v>
      </c>
    </row>
    <row r="20" spans="2:5" x14ac:dyDescent="0.25">
      <c r="C20">
        <v>1</v>
      </c>
      <c r="D20">
        <f t="shared" ref="D20:D32" si="1">(C20*0.13895)+0.0005405</f>
        <v>0.13949049999999999</v>
      </c>
      <c r="E20">
        <f>(D20*4095) / 3.3</f>
        <v>173.09502954545457</v>
      </c>
    </row>
    <row r="21" spans="2:5" x14ac:dyDescent="0.25">
      <c r="C21">
        <v>2</v>
      </c>
      <c r="D21">
        <f t="shared" si="1"/>
        <v>0.27844049999999998</v>
      </c>
      <c r="E21">
        <f t="shared" ref="E21:E32" si="2">(D21*4095) / 3.3</f>
        <v>345.5193477272727</v>
      </c>
    </row>
    <row r="22" spans="2:5" x14ac:dyDescent="0.25">
      <c r="C22">
        <v>3</v>
      </c>
      <c r="D22">
        <f t="shared" si="1"/>
        <v>0.41739049999999994</v>
      </c>
      <c r="E22">
        <f t="shared" si="2"/>
        <v>517.9436659090909</v>
      </c>
    </row>
    <row r="23" spans="2:5" x14ac:dyDescent="0.25">
      <c r="C23">
        <v>4</v>
      </c>
      <c r="D23">
        <f t="shared" si="1"/>
        <v>0.55634050000000002</v>
      </c>
      <c r="E23">
        <f t="shared" si="2"/>
        <v>690.3679840909092</v>
      </c>
    </row>
    <row r="24" spans="2:5" x14ac:dyDescent="0.25">
      <c r="C24">
        <v>5</v>
      </c>
      <c r="D24">
        <f t="shared" si="1"/>
        <v>0.69529050000000003</v>
      </c>
      <c r="E24">
        <f t="shared" si="2"/>
        <v>862.7923022727274</v>
      </c>
    </row>
    <row r="25" spans="2:5" x14ac:dyDescent="0.25">
      <c r="C25">
        <v>6</v>
      </c>
      <c r="D25">
        <f t="shared" si="1"/>
        <v>0.83424049999999994</v>
      </c>
      <c r="E25">
        <f t="shared" si="2"/>
        <v>1035.2166204545456</v>
      </c>
    </row>
    <row r="26" spans="2:5" x14ac:dyDescent="0.25">
      <c r="C26">
        <v>7</v>
      </c>
      <c r="D26">
        <f t="shared" si="1"/>
        <v>0.97319049999999996</v>
      </c>
      <c r="E26">
        <f t="shared" si="2"/>
        <v>1207.6409386363637</v>
      </c>
    </row>
    <row r="27" spans="2:5" x14ac:dyDescent="0.25">
      <c r="C27">
        <v>8</v>
      </c>
      <c r="D27">
        <f t="shared" si="1"/>
        <v>1.1121405</v>
      </c>
      <c r="E27">
        <f t="shared" si="2"/>
        <v>1380.0652568181818</v>
      </c>
    </row>
    <row r="28" spans="2:5" x14ac:dyDescent="0.25">
      <c r="C28">
        <v>9</v>
      </c>
      <c r="D28">
        <f t="shared" si="1"/>
        <v>1.2510904999999999</v>
      </c>
      <c r="E28">
        <f t="shared" si="2"/>
        <v>1552.4895750000001</v>
      </c>
    </row>
    <row r="29" spans="2:5" x14ac:dyDescent="0.25">
      <c r="C29">
        <v>10</v>
      </c>
      <c r="D29">
        <f t="shared" si="1"/>
        <v>1.3900405</v>
      </c>
      <c r="E29">
        <f t="shared" si="2"/>
        <v>1724.9138931818181</v>
      </c>
    </row>
    <row r="30" spans="2:5" x14ac:dyDescent="0.25">
      <c r="C30">
        <v>20</v>
      </c>
      <c r="D30">
        <f t="shared" si="1"/>
        <v>2.7795405</v>
      </c>
      <c r="E30">
        <f t="shared" si="2"/>
        <v>3449.1570750000001</v>
      </c>
    </row>
  </sheetData>
  <mergeCells count="1">
    <mergeCell ref="C17:D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C Bastos</dc:creator>
  <cp:lastModifiedBy>Arthur Coelho Bastos</cp:lastModifiedBy>
  <dcterms:created xsi:type="dcterms:W3CDTF">2015-06-05T18:19:34Z</dcterms:created>
  <dcterms:modified xsi:type="dcterms:W3CDTF">2026-03-12T16:14:18Z</dcterms:modified>
</cp:coreProperties>
</file>